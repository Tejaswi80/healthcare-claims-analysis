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ta\Downloads\"/>
    </mc:Choice>
  </mc:AlternateContent>
  <xr:revisionPtr revIDLastSave="0" documentId="8_{D986EBB2-0791-4FAD-B16E-1DAE4378A215}" xr6:coauthVersionLast="47" xr6:coauthVersionMax="47" xr10:uidLastSave="{00000000-0000-0000-0000-000000000000}"/>
  <bookViews>
    <workbookView xWindow="-108" yWindow="-108" windowWidth="23256" windowHeight="13896" firstSheet="1" activeTab="3" xr2:uid="{5E0E34A9-4D35-497D-9B5F-2236C0C24AB7}"/>
  </bookViews>
  <sheets>
    <sheet name="Claims by specialty" sheetId="2" r:id="rId1"/>
    <sheet name="Claims by state" sheetId="3" r:id="rId2"/>
    <sheet name="Claims by HCPCS codes" sheetId="4" r:id="rId3"/>
    <sheet name="synthetic_claims (1) raw" sheetId="1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M27" i="1" s="1"/>
  <c r="J27" i="1"/>
  <c r="M11" i="1"/>
  <c r="M21" i="1"/>
  <c r="M3" i="1"/>
  <c r="M19" i="1"/>
  <c r="M8" i="1"/>
  <c r="M2" i="1"/>
  <c r="M26" i="1"/>
  <c r="M12" i="1"/>
  <c r="M4" i="1"/>
  <c r="M9" i="1"/>
  <c r="M13" i="1"/>
  <c r="M22" i="1"/>
  <c r="M5" i="1"/>
  <c r="M14" i="1"/>
  <c r="M15" i="1"/>
  <c r="M23" i="1"/>
  <c r="M10" i="1"/>
  <c r="M20" i="1"/>
  <c r="M6" i="1"/>
  <c r="M16" i="1"/>
  <c r="M17" i="1"/>
  <c r="M24" i="1"/>
  <c r="M7" i="1"/>
  <c r="M18" i="1"/>
  <c r="M25" i="1"/>
  <c r="L11" i="1"/>
  <c r="L21" i="1"/>
  <c r="L3" i="1"/>
  <c r="L19" i="1"/>
  <c r="L8" i="1"/>
  <c r="L2" i="1"/>
  <c r="L27" i="1" s="1"/>
  <c r="L26" i="1"/>
  <c r="L12" i="1"/>
  <c r="L4" i="1"/>
  <c r="L9" i="1"/>
  <c r="L13" i="1"/>
  <c r="L22" i="1"/>
  <c r="L5" i="1"/>
  <c r="L14" i="1"/>
  <c r="L15" i="1"/>
  <c r="L23" i="1"/>
  <c r="L10" i="1"/>
  <c r="L20" i="1"/>
  <c r="L6" i="1"/>
  <c r="L16" i="1"/>
  <c r="L17" i="1"/>
  <c r="L24" i="1"/>
  <c r="L7" i="1"/>
  <c r="L18" i="1"/>
  <c r="L25" i="1"/>
</calcChain>
</file>

<file path=xl/sharedStrings.xml><?xml version="1.0" encoding="utf-8"?>
<sst xmlns="http://schemas.openxmlformats.org/spreadsheetml/2006/main" count="192" uniqueCount="75">
  <si>
    <t>claim_id</t>
  </si>
  <si>
    <t>bene_id</t>
  </si>
  <si>
    <t>provider_npi</t>
  </si>
  <si>
    <t>date_of_service</t>
  </si>
  <si>
    <t>hcpcs_code</t>
  </si>
  <si>
    <t>dx_code</t>
  </si>
  <si>
    <t>place_of_service</t>
  </si>
  <si>
    <t>specialty</t>
  </si>
  <si>
    <t>state</t>
  </si>
  <si>
    <t>allowed_amount</t>
  </si>
  <si>
    <t>paid_amount</t>
  </si>
  <si>
    <t>C001</t>
  </si>
  <si>
    <t>B001</t>
  </si>
  <si>
    <t>E119</t>
  </si>
  <si>
    <t>INTERNAL_MEDICINE</t>
  </si>
  <si>
    <t>TX</t>
  </si>
  <si>
    <t>C002</t>
  </si>
  <si>
    <t>C003</t>
  </si>
  <si>
    <t>B002</t>
  </si>
  <si>
    <t>FAMILY_PRACTICE</t>
  </si>
  <si>
    <t>GA</t>
  </si>
  <si>
    <t>C004</t>
  </si>
  <si>
    <t>C005</t>
  </si>
  <si>
    <t>B003</t>
  </si>
  <si>
    <t>E669</t>
  </si>
  <si>
    <t>ENDOCRINOLOGY</t>
  </si>
  <si>
    <t>FL</t>
  </si>
  <si>
    <t>C006</t>
  </si>
  <si>
    <t>C007</t>
  </si>
  <si>
    <t>C008</t>
  </si>
  <si>
    <t>B004</t>
  </si>
  <si>
    <t>C009</t>
  </si>
  <si>
    <t>C010</t>
  </si>
  <si>
    <t>C011</t>
  </si>
  <si>
    <t>B005</t>
  </si>
  <si>
    <t>C012</t>
  </si>
  <si>
    <t>C013</t>
  </si>
  <si>
    <t>B006</t>
  </si>
  <si>
    <t>CA</t>
  </si>
  <si>
    <t>C014</t>
  </si>
  <si>
    <t>C015</t>
  </si>
  <si>
    <t>B007</t>
  </si>
  <si>
    <t>C016</t>
  </si>
  <si>
    <t>C017</t>
  </si>
  <si>
    <t>B008</t>
  </si>
  <si>
    <t>WA</t>
  </si>
  <si>
    <t>C018</t>
  </si>
  <si>
    <t>C019</t>
  </si>
  <si>
    <t>B009</t>
  </si>
  <si>
    <t>CO</t>
  </si>
  <si>
    <t>C020</t>
  </si>
  <si>
    <t>C021</t>
  </si>
  <si>
    <t>B010</t>
  </si>
  <si>
    <t>NY</t>
  </si>
  <si>
    <t>C022</t>
  </si>
  <si>
    <t>C023</t>
  </si>
  <si>
    <t>B011</t>
  </si>
  <si>
    <t>IL</t>
  </si>
  <si>
    <t>C024</t>
  </si>
  <si>
    <t>C025</t>
  </si>
  <si>
    <t>Difference</t>
  </si>
  <si>
    <t>Paid_percentage</t>
  </si>
  <si>
    <t>Total</t>
  </si>
  <si>
    <t>Grand Total</t>
  </si>
  <si>
    <t>Sum of allowed_amount</t>
  </si>
  <si>
    <t>Sum of paid_amount</t>
  </si>
  <si>
    <t>Count of claim_id</t>
  </si>
  <si>
    <t>Sum of Payment Rate</t>
  </si>
  <si>
    <t>Specialty</t>
  </si>
  <si>
    <t>States</t>
  </si>
  <si>
    <t>Allowed amount</t>
  </si>
  <si>
    <t>Paid Amount</t>
  </si>
  <si>
    <t>Paid amount</t>
  </si>
  <si>
    <t>HCPCS Code</t>
  </si>
  <si>
    <t>Claim_id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</si>
</sst>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4" formatCode="0.00%"/>
    </dxf>
    <dxf>
      <numFmt numFmtId="14" formatCode="0.00%"/>
    </dxf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5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Claims by Specialty</a:t>
            </a:r>
          </a:p>
        </c:rich>
      </c:tx>
      <c:layout>
        <c:manualLayout>
          <c:xMode val="edge"/>
          <c:yMode val="edge"/>
          <c:x val="0.35150539855867158"/>
          <c:y val="0.12998611083657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043763417878599E-2"/>
          <c:y val="0.16326944256108367"/>
          <c:w val="0.90581107051153975"/>
          <c:h val="0.6915399544396713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ENDOCRINOLOGY</c:v>
              </c:pt>
              <c:pt idx="1">
                <c:v>FAMILY_PRACTICE</c:v>
              </c:pt>
              <c:pt idx="2">
                <c:v>INTERNAL_MEDICINE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10</c:v>
              </c:pt>
              <c:pt idx="2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2-998A-4CE5-B9D6-EDC856D70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265151"/>
        <c:axId val="2069572975"/>
      </c:barChart>
      <c:catAx>
        <c:axId val="205126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72975"/>
        <c:crosses val="autoZero"/>
        <c:auto val="1"/>
        <c:lblAlgn val="ctr"/>
        <c:lblOffset val="100"/>
        <c:noMultiLvlLbl val="0"/>
      </c:catAx>
      <c:valAx>
        <c:axId val="2069572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6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Allowed vs Paid Amount by Specialty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803508736966213E-2"/>
          <c:y val="0.21326993046210604"/>
          <c:w val="0.77642635725148368"/>
          <c:h val="0.59049444892696668"/>
        </c:manualLayout>
      </c:layout>
      <c:barChart>
        <c:barDir val="col"/>
        <c:grouping val="clustered"/>
        <c:varyColors val="0"/>
        <c:ser>
          <c:idx val="0"/>
          <c:order val="0"/>
          <c:tx>
            <c:v>allowed_amount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ENDOCRINOLOGY</c:v>
              </c:pt>
              <c:pt idx="1">
                <c:v>FAMILY_PRACTICE</c:v>
              </c:pt>
              <c:pt idx="2">
                <c:v>INTERNAL_MEDICINE</c:v>
              </c:pt>
            </c:strLit>
          </c:cat>
          <c:val>
            <c:numLit>
              <c:formatCode>General</c:formatCode>
              <c:ptCount val="3"/>
              <c:pt idx="0">
                <c:v>334</c:v>
              </c:pt>
              <c:pt idx="1">
                <c:v>743.49</c:v>
              </c:pt>
              <c:pt idx="2">
                <c:v>713.6</c:v>
              </c:pt>
            </c:numLit>
          </c:val>
          <c:extLst>
            <c:ext xmlns:c16="http://schemas.microsoft.com/office/drawing/2014/chart" uri="{C3380CC4-5D6E-409C-BE32-E72D297353CC}">
              <c16:uniqueId val="{00000000-CE64-45A2-A257-3054B3614269}"/>
            </c:ext>
          </c:extLst>
        </c:ser>
        <c:ser>
          <c:idx val="1"/>
          <c:order val="1"/>
          <c:tx>
            <c:v>paid_amount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ENDOCRINOLOGY</c:v>
              </c:pt>
              <c:pt idx="1">
                <c:v>FAMILY_PRACTICE</c:v>
              </c:pt>
              <c:pt idx="2">
                <c:v>INTERNAL_MEDICINE</c:v>
              </c:pt>
            </c:strLit>
          </c:cat>
          <c:val>
            <c:numLit>
              <c:formatCode>General</c:formatCode>
              <c:ptCount val="3"/>
              <c:pt idx="0">
                <c:v>268</c:v>
              </c:pt>
              <c:pt idx="1">
                <c:v>600</c:v>
              </c:pt>
              <c:pt idx="2">
                <c:v>574</c:v>
              </c:pt>
            </c:numLit>
          </c:val>
          <c:extLst>
            <c:ext xmlns:c16="http://schemas.microsoft.com/office/drawing/2014/chart" uri="{C3380CC4-5D6E-409C-BE32-E72D297353CC}">
              <c16:uniqueId val="{00000001-CE64-45A2-A257-3054B3614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3504639"/>
        <c:axId val="2069553775"/>
      </c:barChart>
      <c:catAx>
        <c:axId val="207350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53775"/>
        <c:crosses val="autoZero"/>
        <c:auto val="1"/>
        <c:lblAlgn val="ctr"/>
        <c:lblOffset val="100"/>
        <c:noMultiLvlLbl val="0"/>
      </c:catAx>
      <c:valAx>
        <c:axId val="2069553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50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268513275113037"/>
          <c:y val="0.14997209687196314"/>
          <c:w val="0.19961888471198935"/>
          <c:h val="0.154928682078906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[healthcare_data.xlsx]Claims by state!PivotTable8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Claims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'Claims by state'!$B$16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'Claims by state'!$A$17:$A$25</c:f>
              <c:strCache>
                <c:ptCount val="8"/>
                <c:pt idx="0">
                  <c:v>CA</c:v>
                </c:pt>
                <c:pt idx="1">
                  <c:v>CO</c:v>
                </c:pt>
                <c:pt idx="2">
                  <c:v>FL</c:v>
                </c:pt>
                <c:pt idx="3">
                  <c:v>GA</c:v>
                </c:pt>
                <c:pt idx="4">
                  <c:v>IL</c:v>
                </c:pt>
                <c:pt idx="5">
                  <c:v>NY</c:v>
                </c:pt>
                <c:pt idx="6">
                  <c:v>TX</c:v>
                </c:pt>
                <c:pt idx="7">
                  <c:v>WA</c:v>
                </c:pt>
              </c:strCache>
            </c:strRef>
          </c:cat>
          <c:val>
            <c:numRef>
              <c:f>'Claims by state'!$B$17:$B$25</c:f>
              <c:numCache>
                <c:formatCode>General</c:formatCode>
                <c:ptCount val="8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7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D-4640-AEAF-DC968F118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3477263"/>
        <c:axId val="2069594575"/>
      </c:barChart>
      <c:catAx>
        <c:axId val="207347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94575"/>
        <c:crosses val="autoZero"/>
        <c:auto val="1"/>
        <c:lblAlgn val="ctr"/>
        <c:lblOffset val="100"/>
        <c:noMultiLvlLbl val="0"/>
      </c:catAx>
      <c:valAx>
        <c:axId val="206959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47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[healthcare_data.xlsx]Claims by state!PivotTable9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Allowed vs Paid Amount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'Claims by state'!$B$31</c:f>
              <c:strCache>
                <c:ptCount val="1"/>
                <c:pt idx="0">
                  <c:v>Paid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'Claims by state'!$A$32:$A$40</c:f>
              <c:strCache>
                <c:ptCount val="8"/>
                <c:pt idx="0">
                  <c:v>CA</c:v>
                </c:pt>
                <c:pt idx="1">
                  <c:v>CO</c:v>
                </c:pt>
                <c:pt idx="2">
                  <c:v>FL</c:v>
                </c:pt>
                <c:pt idx="3">
                  <c:v>GA</c:v>
                </c:pt>
                <c:pt idx="4">
                  <c:v>IL</c:v>
                </c:pt>
                <c:pt idx="5">
                  <c:v>NY</c:v>
                </c:pt>
                <c:pt idx="6">
                  <c:v>TX</c:v>
                </c:pt>
                <c:pt idx="7">
                  <c:v>WA</c:v>
                </c:pt>
              </c:strCache>
            </c:strRef>
          </c:cat>
          <c:val>
            <c:numRef>
              <c:f>'Claims by state'!$B$32:$B$40</c:f>
              <c:numCache>
                <c:formatCode>"$"#,##0.00</c:formatCode>
                <c:ptCount val="8"/>
                <c:pt idx="0">
                  <c:v>244</c:v>
                </c:pt>
                <c:pt idx="1">
                  <c:v>158</c:v>
                </c:pt>
                <c:pt idx="2">
                  <c:v>178</c:v>
                </c:pt>
                <c:pt idx="3">
                  <c:v>110</c:v>
                </c:pt>
                <c:pt idx="4">
                  <c:v>176</c:v>
                </c:pt>
                <c:pt idx="5">
                  <c:v>86</c:v>
                </c:pt>
                <c:pt idx="6">
                  <c:v>400</c:v>
                </c:pt>
                <c:pt idx="7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E-43E8-8EB3-D03F73662353}"/>
            </c:ext>
          </c:extLst>
        </c:ser>
        <c:ser>
          <c:idx val="1"/>
          <c:order val="1"/>
          <c:tx>
            <c:strRef>
              <c:f>'Claims by state'!$C$31</c:f>
              <c:strCache>
                <c:ptCount val="1"/>
                <c:pt idx="0">
                  <c:v>Sum of allowed_amount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'Claims by state'!$A$32:$A$40</c:f>
              <c:strCache>
                <c:ptCount val="8"/>
                <c:pt idx="0">
                  <c:v>CA</c:v>
                </c:pt>
                <c:pt idx="1">
                  <c:v>CO</c:v>
                </c:pt>
                <c:pt idx="2">
                  <c:v>FL</c:v>
                </c:pt>
                <c:pt idx="3">
                  <c:v>GA</c:v>
                </c:pt>
                <c:pt idx="4">
                  <c:v>IL</c:v>
                </c:pt>
                <c:pt idx="5">
                  <c:v>NY</c:v>
                </c:pt>
                <c:pt idx="6">
                  <c:v>TX</c:v>
                </c:pt>
                <c:pt idx="7">
                  <c:v>WA</c:v>
                </c:pt>
              </c:strCache>
            </c:strRef>
          </c:cat>
          <c:val>
            <c:numRef>
              <c:f>'Claims by state'!$C$32:$C$40</c:f>
              <c:numCache>
                <c:formatCode>"$"#,##0.00</c:formatCode>
                <c:ptCount val="8"/>
                <c:pt idx="0">
                  <c:v>303.11</c:v>
                </c:pt>
                <c:pt idx="1">
                  <c:v>195.73000000000002</c:v>
                </c:pt>
                <c:pt idx="2">
                  <c:v>222</c:v>
                </c:pt>
                <c:pt idx="3">
                  <c:v>134.5</c:v>
                </c:pt>
                <c:pt idx="4">
                  <c:v>217.88000000000002</c:v>
                </c:pt>
                <c:pt idx="5">
                  <c:v>107.38</c:v>
                </c:pt>
                <c:pt idx="6">
                  <c:v>498.49</c:v>
                </c:pt>
                <c:pt idx="7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DE-43E8-8EB3-D03F73662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3531551"/>
        <c:axId val="2069584975"/>
      </c:barChart>
      <c:catAx>
        <c:axId val="207353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84975"/>
        <c:crosses val="autoZero"/>
        <c:auto val="1"/>
        <c:lblAlgn val="ctr"/>
        <c:lblOffset val="100"/>
        <c:noMultiLvlLbl val="0"/>
      </c:catAx>
      <c:valAx>
        <c:axId val="206958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53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[healthcare_data.xlsx]Claims by HCPCS codes!PivotTable1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Claims by HCPCS Code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857120167089553E-2"/>
          <c:y val="0.27717373869932921"/>
          <c:w val="0.80831854225483535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'Claims by HCPCS codes'!$B$11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'Claims by HCPCS codes'!$A$12:$A$16</c:f>
              <c:strCache>
                <c:ptCount val="4"/>
                <c:pt idx="0">
                  <c:v>83036</c:v>
                </c:pt>
                <c:pt idx="1">
                  <c:v>83037</c:v>
                </c:pt>
                <c:pt idx="2">
                  <c:v>99213</c:v>
                </c:pt>
                <c:pt idx="3">
                  <c:v>99214</c:v>
                </c:pt>
              </c:strCache>
            </c:strRef>
          </c:cat>
          <c:val>
            <c:numRef>
              <c:f>'Claims by HCPCS codes'!$B$12:$B$16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11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F-495F-B9A3-2F8924DFA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1936863"/>
        <c:axId val="1746102863"/>
      </c:barChart>
      <c:catAx>
        <c:axId val="170193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102863"/>
        <c:crosses val="autoZero"/>
        <c:auto val="1"/>
        <c:lblAlgn val="ctr"/>
        <c:lblOffset val="100"/>
        <c:noMultiLvlLbl val="0"/>
      </c:catAx>
      <c:valAx>
        <c:axId val="174610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93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530507</xdr:colOff>
      <xdr:row>10</xdr:row>
      <xdr:rowOff>67519</xdr:rowOff>
    </xdr:from>
    <xdr:to>
      <xdr:col>3</xdr:col>
      <xdr:colOff>1176760</xdr:colOff>
      <xdr:row>25</xdr:row>
      <xdr:rowOff>106101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3DBF73-9EFD-72F0-189C-7F9DFE117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154328</xdr:colOff>
      <xdr:row>10</xdr:row>
      <xdr:rowOff>128287</xdr:rowOff>
    </xdr:from>
    <xdr:to>
      <xdr:col>9</xdr:col>
      <xdr:colOff>270074</xdr:colOff>
      <xdr:row>26</xdr:row>
      <xdr:rowOff>106102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80C154C-9CE4-6BCD-64CB-3B08C0DBE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1028700</xdr:colOff>
      <xdr:row>13</xdr:row>
      <xdr:rowOff>171450</xdr:rowOff>
    </xdr:from>
    <xdr:to>
      <xdr:col>8</xdr:col>
      <xdr:colOff>487680</xdr:colOff>
      <xdr:row>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1E5BC6-393D-65C6-0F72-524981FFC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480060</xdr:colOff>
      <xdr:row>29</xdr:row>
      <xdr:rowOff>179070</xdr:rowOff>
    </xdr:from>
    <xdr:to>
      <xdr:col>10</xdr:col>
      <xdr:colOff>152400</xdr:colOff>
      <xdr:row>44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C53FCD-BB35-EDB7-BBA4-6AB1446DD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640080</xdr:colOff>
      <xdr:row>9</xdr:row>
      <xdr:rowOff>133350</xdr:rowOff>
    </xdr:from>
    <xdr:to>
      <xdr:col>7</xdr:col>
      <xdr:colOff>434340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D44157-EE9A-E9F9-65D7-171087799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jaswi Mittapelli" refreshedDate="46286.890715393522" createdVersion="8" refreshedVersion="8" minRefreshableVersion="3" recordCount="25" xr:uid="{31EB6BEF-2C24-438C-91E0-D4F2929C9156}">
  <cacheSource type="worksheet">
    <worksheetSource name="Table1"/>
  </cacheSource>
  <cacheFields count="14">
    <cacheField name="claim_id" numFmtId="0">
      <sharedItems count="25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</sharedItems>
    </cacheField>
    <cacheField name="bene_id" numFmtId="0">
      <sharedItems/>
    </cacheField>
    <cacheField name="provider_npi" numFmtId="0">
      <sharedItems containsSemiMixedTypes="0" containsString="0" containsNumber="1" containsInteger="1" minValue="1111111111" maxValue="9999999999"/>
    </cacheField>
    <cacheField name="date_of_service" numFmtId="165">
      <sharedItems containsSemiMixedTypes="0" containsNonDate="0" containsDate="1" containsString="0" minDate="2024-01-05T00:00:00" maxDate="2024-04-23T00:00:00"/>
    </cacheField>
    <cacheField name="hcpcs_code" numFmtId="0">
      <sharedItems containsSemiMixedTypes="0" containsString="0" containsNumber="1" containsInteger="1" minValue="83036" maxValue="99214" count="4">
        <n v="99213"/>
        <n v="83036"/>
        <n v="99214"/>
        <n v="83037"/>
      </sharedItems>
    </cacheField>
    <cacheField name="dx_code" numFmtId="0">
      <sharedItems/>
    </cacheField>
    <cacheField name="place_of_service" numFmtId="0">
      <sharedItems containsSemiMixedTypes="0" containsString="0" containsNumber="1" containsInteger="1" minValue="11" maxValue="11"/>
    </cacheField>
    <cacheField name="specialty" numFmtId="0">
      <sharedItems count="3">
        <s v="INTERNAL_MEDICINE"/>
        <s v="FAMILY_PRACTICE"/>
        <s v="ENDOCRINOLOGY"/>
      </sharedItems>
    </cacheField>
    <cacheField name="state" numFmtId="0">
      <sharedItems count="8">
        <s v="TX"/>
        <s v="GA"/>
        <s v="FL"/>
        <s v="CA"/>
        <s v="WA"/>
        <s v="CO"/>
        <s v="NY"/>
        <s v="IL"/>
      </sharedItems>
    </cacheField>
    <cacheField name="allowed_amount" numFmtId="164">
      <sharedItems containsSemiMixedTypes="0" containsString="0" containsNumber="1" minValue="22" maxValue="112" count="7">
        <n v="85.23"/>
        <n v="22.15"/>
        <n v="110.5"/>
        <n v="24"/>
        <n v="88"/>
        <n v="112"/>
        <n v="22"/>
      </sharedItems>
    </cacheField>
    <cacheField name="paid_amount" numFmtId="164">
      <sharedItems containsSemiMixedTypes="0" containsString="0" containsNumber="1" containsInteger="1" minValue="18" maxValue="90"/>
    </cacheField>
    <cacheField name="Difference" numFmtId="164">
      <sharedItems containsSemiMixedTypes="0" containsString="0" containsNumber="1" minValue="4" maxValue="22"/>
    </cacheField>
    <cacheField name="Paid_percentage" numFmtId="10">
      <sharedItems containsSemiMixedTypes="0" containsString="0" containsNumber="1" minValue="0.79545454545454541" maxValue="0.83333333333333337"/>
    </cacheField>
    <cacheField name="Psyment Rate" numFmtId="0" formula="paid_amount/allowed_amount" databaseField="0"/>
  </cacheFields>
  <extLst>
    <ext xmlns:x14="http://schemas.microsoft.com/office/spreadsheetml/2009/9/main" uri="{725AE2AE-9491-48be-B2B4-4EB974FC3084}">
      <x14:pivotCacheDefinition pivotCacheId="126507341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jaswi Mittapelli" refreshedDate="46287.58085578704" createdVersion="8" refreshedVersion="8" minRefreshableVersion="3" recordCount="4" xr:uid="{0ABFD9DE-058D-4A82-B63C-10FB0926C2E4}">
  <cacheSource type="worksheet">
    <worksheetSource ref="A3:D7" sheet="Claims by HCPCS codes"/>
  </cacheSource>
  <cacheFields count="4">
    <cacheField name="HCPCS Code" numFmtId="0">
      <sharedItems containsSemiMixedTypes="0" containsString="0" containsNumber="1" containsInteger="1" minValue="83036" maxValue="99214" count="4">
        <n v="83036"/>
        <n v="83037"/>
        <n v="99213"/>
        <n v="99214"/>
      </sharedItems>
    </cacheField>
    <cacheField name="Count of claim_id" numFmtId="0">
      <sharedItems containsSemiMixedTypes="0" containsString="0" containsNumber="1" containsInteger="1" minValue="2" maxValue="11"/>
    </cacheField>
    <cacheField name="Sum of allowed_amount" numFmtId="164">
      <sharedItems containsSemiMixedTypes="0" containsString="0" containsNumber="1" minValue="48" maxValue="945.84000000000015"/>
    </cacheField>
    <cacheField name="Sum of paid_amount" numFmtId="164">
      <sharedItems containsSemiMixedTypes="0" containsString="0" containsNumber="1" containsInteger="1" minValue="40" maxValue="7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B001"/>
    <n v="1111111111"/>
    <d v="2024-01-05T00:00:00"/>
    <x v="0"/>
    <s v="E119"/>
    <n v="11"/>
    <x v="0"/>
    <x v="0"/>
    <x v="0"/>
    <n v="68"/>
    <n v="17.230000000000004"/>
    <n v="0.79784113575032267"/>
  </r>
  <r>
    <x v="1"/>
    <s v="B001"/>
    <n v="1111111111"/>
    <d v="2024-03-12T00:00:00"/>
    <x v="1"/>
    <s v="E119"/>
    <n v="11"/>
    <x v="0"/>
    <x v="0"/>
    <x v="1"/>
    <n v="18"/>
    <n v="4.1499999999999986"/>
    <n v="0.81264108352144471"/>
  </r>
  <r>
    <x v="2"/>
    <s v="B002"/>
    <n v="2222222222"/>
    <d v="2024-02-18T00:00:00"/>
    <x v="2"/>
    <s v="E119"/>
    <n v="11"/>
    <x v="1"/>
    <x v="1"/>
    <x v="2"/>
    <n v="90"/>
    <n v="20.5"/>
    <n v="0.81447963800904977"/>
  </r>
  <r>
    <x v="3"/>
    <s v="B002"/>
    <n v="2222222222"/>
    <d v="2024-04-22T00:00:00"/>
    <x v="3"/>
    <s v="E119"/>
    <n v="11"/>
    <x v="1"/>
    <x v="1"/>
    <x v="3"/>
    <n v="20"/>
    <n v="4"/>
    <n v="0.83333333333333337"/>
  </r>
  <r>
    <x v="4"/>
    <s v="B003"/>
    <n v="3333333333"/>
    <d v="2024-01-09T00:00:00"/>
    <x v="0"/>
    <s v="E669"/>
    <n v="11"/>
    <x v="2"/>
    <x v="2"/>
    <x v="4"/>
    <n v="70"/>
    <n v="18"/>
    <n v="0.79545454545454541"/>
  </r>
  <r>
    <x v="5"/>
    <s v="B003"/>
    <n v="3333333333"/>
    <d v="2024-02-14T00:00:00"/>
    <x v="2"/>
    <s v="E669"/>
    <n v="11"/>
    <x v="2"/>
    <x v="2"/>
    <x v="5"/>
    <n v="90"/>
    <n v="22"/>
    <n v="0.8035714285714286"/>
  </r>
  <r>
    <x v="6"/>
    <s v="B003"/>
    <n v="3333333333"/>
    <d v="2024-03-20T00:00:00"/>
    <x v="1"/>
    <s v="E669"/>
    <n v="11"/>
    <x v="2"/>
    <x v="2"/>
    <x v="6"/>
    <n v="18"/>
    <n v="4"/>
    <n v="0.81818181818181823"/>
  </r>
  <r>
    <x v="7"/>
    <s v="B004"/>
    <n v="1111111111"/>
    <d v="2024-01-15T00:00:00"/>
    <x v="0"/>
    <s v="E119"/>
    <n v="11"/>
    <x v="0"/>
    <x v="0"/>
    <x v="0"/>
    <n v="68"/>
    <n v="17.230000000000004"/>
    <n v="0.79784113575032267"/>
  </r>
  <r>
    <x v="8"/>
    <s v="B004"/>
    <n v="1111111111"/>
    <d v="2024-02-10T00:00:00"/>
    <x v="2"/>
    <s v="E119"/>
    <n v="11"/>
    <x v="0"/>
    <x v="0"/>
    <x v="2"/>
    <n v="90"/>
    <n v="20.5"/>
    <n v="0.81447963800904977"/>
  </r>
  <r>
    <x v="9"/>
    <s v="B004"/>
    <n v="4444444444"/>
    <d v="2024-03-05T00:00:00"/>
    <x v="0"/>
    <s v="E119"/>
    <n v="11"/>
    <x v="1"/>
    <x v="0"/>
    <x v="4"/>
    <n v="70"/>
    <n v="18"/>
    <n v="0.79545454545454541"/>
  </r>
  <r>
    <x v="10"/>
    <s v="B005"/>
    <n v="4444444444"/>
    <d v="2024-01-22T00:00:00"/>
    <x v="0"/>
    <s v="E119"/>
    <n v="11"/>
    <x v="1"/>
    <x v="0"/>
    <x v="0"/>
    <n v="68"/>
    <n v="17.230000000000004"/>
    <n v="0.79784113575032267"/>
  </r>
  <r>
    <x v="11"/>
    <s v="B005"/>
    <n v="4444444444"/>
    <d v="2024-03-18T00:00:00"/>
    <x v="1"/>
    <s v="E119"/>
    <n v="11"/>
    <x v="1"/>
    <x v="0"/>
    <x v="1"/>
    <n v="18"/>
    <n v="4.1499999999999986"/>
    <n v="0.81264108352144471"/>
  </r>
  <r>
    <x v="12"/>
    <s v="B006"/>
    <n v="5555555555"/>
    <d v="2024-02-01T00:00:00"/>
    <x v="2"/>
    <s v="E119"/>
    <n v="11"/>
    <x v="0"/>
    <x v="3"/>
    <x v="2"/>
    <n v="90"/>
    <n v="20.5"/>
    <n v="0.81447963800904977"/>
  </r>
  <r>
    <x v="13"/>
    <s v="B006"/>
    <n v="5555555555"/>
    <d v="2024-03-10T00:00:00"/>
    <x v="0"/>
    <s v="E119"/>
    <n v="11"/>
    <x v="0"/>
    <x v="3"/>
    <x v="0"/>
    <n v="68"/>
    <n v="17.230000000000004"/>
    <n v="0.79784113575032267"/>
  </r>
  <r>
    <x v="14"/>
    <s v="B007"/>
    <n v="5555555555"/>
    <d v="2024-01-12T00:00:00"/>
    <x v="0"/>
    <s v="E119"/>
    <n v="11"/>
    <x v="0"/>
    <x v="3"/>
    <x v="0"/>
    <n v="68"/>
    <n v="17.230000000000004"/>
    <n v="0.79784113575032267"/>
  </r>
  <r>
    <x v="15"/>
    <s v="B007"/>
    <n v="5555555555"/>
    <d v="2024-02-20T00:00:00"/>
    <x v="1"/>
    <s v="E119"/>
    <n v="11"/>
    <x v="0"/>
    <x v="3"/>
    <x v="1"/>
    <n v="18"/>
    <n v="4.1499999999999986"/>
    <n v="0.81264108352144471"/>
  </r>
  <r>
    <x v="16"/>
    <s v="B008"/>
    <n v="6666666666"/>
    <d v="2024-03-02T00:00:00"/>
    <x v="0"/>
    <s v="E669"/>
    <n v="11"/>
    <x v="2"/>
    <x v="4"/>
    <x v="4"/>
    <n v="70"/>
    <n v="18"/>
    <n v="0.79545454545454541"/>
  </r>
  <r>
    <x v="17"/>
    <s v="B008"/>
    <n v="6666666666"/>
    <d v="2024-03-28T00:00:00"/>
    <x v="3"/>
    <s v="E669"/>
    <n v="11"/>
    <x v="2"/>
    <x v="4"/>
    <x v="3"/>
    <n v="20"/>
    <n v="4"/>
    <n v="0.83333333333333337"/>
  </r>
  <r>
    <x v="18"/>
    <s v="B009"/>
    <n v="7777777777"/>
    <d v="2024-01-30T00:00:00"/>
    <x v="2"/>
    <s v="E119"/>
    <n v="11"/>
    <x v="1"/>
    <x v="5"/>
    <x v="2"/>
    <n v="90"/>
    <n v="20.5"/>
    <n v="0.81447963800904977"/>
  </r>
  <r>
    <x v="19"/>
    <s v="B009"/>
    <n v="7777777777"/>
    <d v="2024-03-15T00:00:00"/>
    <x v="0"/>
    <s v="E119"/>
    <n v="11"/>
    <x v="1"/>
    <x v="5"/>
    <x v="0"/>
    <n v="68"/>
    <n v="17.230000000000004"/>
    <n v="0.79784113575032267"/>
  </r>
  <r>
    <x v="20"/>
    <s v="B010"/>
    <n v="8888888888"/>
    <d v="2024-02-11T00:00:00"/>
    <x v="0"/>
    <s v="E119"/>
    <n v="11"/>
    <x v="0"/>
    <x v="6"/>
    <x v="0"/>
    <n v="68"/>
    <n v="17.230000000000004"/>
    <n v="0.79784113575032267"/>
  </r>
  <r>
    <x v="21"/>
    <s v="B010"/>
    <n v="8888888888"/>
    <d v="2024-03-19T00:00:00"/>
    <x v="1"/>
    <s v="E119"/>
    <n v="11"/>
    <x v="0"/>
    <x v="6"/>
    <x v="1"/>
    <n v="18"/>
    <n v="4.1499999999999986"/>
    <n v="0.81264108352144471"/>
  </r>
  <r>
    <x v="22"/>
    <s v="B011"/>
    <n v="9999999999"/>
    <d v="2024-01-17T00:00:00"/>
    <x v="2"/>
    <s v="E119"/>
    <n v="11"/>
    <x v="1"/>
    <x v="7"/>
    <x v="2"/>
    <n v="90"/>
    <n v="20.5"/>
    <n v="0.81447963800904977"/>
  </r>
  <r>
    <x v="23"/>
    <s v="B011"/>
    <n v="9999999999"/>
    <d v="2024-02-25T00:00:00"/>
    <x v="0"/>
    <s v="E119"/>
    <n v="11"/>
    <x v="1"/>
    <x v="7"/>
    <x v="0"/>
    <n v="68"/>
    <n v="17.230000000000004"/>
    <n v="0.79784113575032267"/>
  </r>
  <r>
    <x v="24"/>
    <s v="B011"/>
    <n v="9999999999"/>
    <d v="2024-03-22T00:00:00"/>
    <x v="1"/>
    <s v="E119"/>
    <n v="11"/>
    <x v="1"/>
    <x v="7"/>
    <x v="1"/>
    <n v="18"/>
    <n v="4.1499999999999986"/>
    <n v="0.812641083521444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6"/>
    <n v="132.75"/>
    <n v="108"/>
  </r>
  <r>
    <x v="1"/>
    <n v="2"/>
    <n v="48"/>
    <n v="40"/>
  </r>
  <r>
    <x v="2"/>
    <n v="11"/>
    <n v="945.84000000000015"/>
    <n v="754"/>
  </r>
  <r>
    <x v="3"/>
    <n v="6"/>
    <n v="664.5"/>
    <n v="5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A923D-0386-4A3C-82BF-31BF2E4E5EE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Specialty">
  <location ref="A3:E7" firstHeaderRow="0" firstDataRow="1" firstDataCol="1"/>
  <pivotFields count="14">
    <pivotField dataField="1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numFmtId="165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numFmtId="164" showAll="0">
      <items count="8">
        <item x="6"/>
        <item x="1"/>
        <item x="3"/>
        <item x="0"/>
        <item x="4"/>
        <item x="2"/>
        <item x="5"/>
        <item t="default"/>
      </items>
    </pivotField>
    <pivotField dataField="1" numFmtId="164" showAll="0"/>
    <pivotField numFmtId="164" showAll="0"/>
    <pivotField numFmtId="10" showAll="0"/>
    <pivotField dataField="1"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claim_id" fld="0" subtotal="count" baseField="0" baseItem="0"/>
    <dataField name="Sum of allowed_amount" fld="9" baseField="0" baseItem="0" numFmtId="164"/>
    <dataField name="Sum of paid_amount" fld="10" baseField="0" baseItem="0" numFmtId="164"/>
    <dataField name="Sum of Payment Rate" fld="13" baseField="7" baseItem="0" numFmtId="10"/>
  </dataFields>
  <formats count="1">
    <format dxfId="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1D028-8595-4EF8-A8D9-AE32EBA4AC9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tates">
  <location ref="A16:B25" firstHeaderRow="1" firstDataRow="1" firstDataCol="1"/>
  <pivotFields count="14">
    <pivotField dataField="1" showAll="0"/>
    <pivotField showAll="0"/>
    <pivotField showAll="0"/>
    <pivotField numFmtId="165" showAll="0"/>
    <pivotField showAll="0"/>
    <pivotField showAll="0"/>
    <pivotField showAll="0"/>
    <pivotField showAll="0"/>
    <pivotField axis="axisRow" showAll="0">
      <items count="9">
        <item x="3"/>
        <item x="5"/>
        <item x="2"/>
        <item x="1"/>
        <item x="7"/>
        <item x="6"/>
        <item x="0"/>
        <item x="4"/>
        <item t="default"/>
      </items>
    </pivotField>
    <pivotField numFmtId="164" showAll="0"/>
    <pivotField numFmtId="164" showAll="0"/>
    <pivotField numFmtId="164" showAll="0"/>
    <pivotField numFmtId="10" showAll="0"/>
    <pivotField dragToRow="0" dragToCol="0" dragToPage="0" showAll="0" defaultSubtota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laim_id" fld="0" subtotal="count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32D99-ECDF-4506-9259-408E60C0E88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tates">
  <location ref="A3:D12" firstHeaderRow="0" firstDataRow="1" firstDataCol="1"/>
  <pivotFields count="14">
    <pivotField dataField="1" showAll="0"/>
    <pivotField showAll="0"/>
    <pivotField showAll="0"/>
    <pivotField numFmtId="165" showAll="0"/>
    <pivotField showAll="0"/>
    <pivotField showAll="0"/>
    <pivotField showAll="0"/>
    <pivotField showAll="0"/>
    <pivotField axis="axisRow" showAll="0">
      <items count="9">
        <item x="3"/>
        <item x="5"/>
        <item x="2"/>
        <item x="1"/>
        <item x="7"/>
        <item x="6"/>
        <item x="0"/>
        <item x="4"/>
        <item t="default"/>
      </items>
    </pivotField>
    <pivotField dataField="1" numFmtId="164" showAll="0"/>
    <pivotField dataField="1" numFmtId="164" showAll="0"/>
    <pivotField numFmtId="164" showAll="0"/>
    <pivotField numFmtId="10" showAll="0"/>
    <pivotField dragToRow="0" dragToCol="0" dragToPage="0" showAll="0" defaultSubtota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laim_id" fld="0" subtotal="count" baseField="0" baseItem="0"/>
    <dataField name="Allowed amount" fld="9" baseField="8" baseItem="0" numFmtId="164"/>
    <dataField name="Paid Amount" fld="10" baseField="8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5DA73-8505-4598-9197-41917F35BE8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tates">
  <location ref="A31:C40" firstHeaderRow="0" firstDataRow="1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axis="axisRow" showAll="0">
      <items count="9">
        <item x="3"/>
        <item x="5"/>
        <item x="2"/>
        <item x="1"/>
        <item x="7"/>
        <item x="6"/>
        <item x="0"/>
        <item x="4"/>
        <item t="default"/>
      </items>
    </pivotField>
    <pivotField dataField="1" numFmtId="164" showAll="0"/>
    <pivotField dataField="1" numFmtId="164" showAll="0"/>
    <pivotField numFmtId="164" showAll="0"/>
    <pivotField numFmtId="10" showAll="0"/>
    <pivotField dragToRow="0" dragToCol="0" dragToPage="0" showAll="0" defaultSubtota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Paid amount" fld="10" baseField="8" baseItem="0" numFmtId="164"/>
    <dataField name="Sum of allowed_amount" fld="9" baseField="0" baseItem="0" numFmtId="164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06BC5-C40B-4BFA-AD15-06F1BA3168E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HCPCS Code">
  <location ref="A11:B16" firstHeaderRow="1" firstDataRow="1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numFmtId="164" showAll="0"/>
    <pivotField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laim_id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04576-F29D-4E18-BE92-61D937BCB70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CPCS Code">
  <location ref="A3:D8" firstHeaderRow="0" firstDataRow="1" firstDataCol="1"/>
  <pivotFields count="14">
    <pivotField dataField="1" showAll="0"/>
    <pivotField showAll="0"/>
    <pivotField showAll="0"/>
    <pivotField numFmtId="165"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numFmtId="164" showAll="0"/>
    <pivotField dataField="1" numFmtId="164" showAll="0"/>
    <pivotField numFmtId="164" showAll="0"/>
    <pivotField numFmtId="10" showAll="0"/>
    <pivotField dragToRow="0" dragToCol="0" dragToPage="0"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laim_id" fld="0" subtotal="count" baseField="0" baseItem="0"/>
    <dataField name="Sum of allowed_amount" fld="9" baseField="0" baseItem="0" numFmtId="164"/>
    <dataField name="Sum of paid_amount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E46993-ED1E-40EA-B3F0-F90125AC72AB}" name="Table1" displayName="Table1" ref="A1:M27" totalsRowCount="1">
  <autoFilter ref="A1:M26" xr:uid="{4BE46993-ED1E-40EA-B3F0-F90125AC72AB}"/>
  <sortState xmlns:xlrd2="http://schemas.microsoft.com/office/spreadsheetml/2017/richdata2" ref="A2:M26">
    <sortCondition descending="1" ref="J1:J26"/>
  </sortState>
  <tableColumns count="13">
    <tableColumn id="1" xr3:uid="{035B9307-3F3A-42AF-931E-64F064F3C33D}" name="claim_id" totalsRowLabel="Total"/>
    <tableColumn id="2" xr3:uid="{C6A2029F-3B1E-4D8F-BA9F-BBCCC1475A17}" name="bene_id"/>
    <tableColumn id="3" xr3:uid="{A90F3575-73A0-4DE8-845D-BF4A2B548A76}" name="provider_npi"/>
    <tableColumn id="4" xr3:uid="{E4E0EAEE-AAF4-4C95-8260-CD0CE07C2C77}" name="date_of_service" dataDxfId="9"/>
    <tableColumn id="5" xr3:uid="{88739AC7-9659-41C8-A180-26BD73AB3D29}" name="hcpcs_code"/>
    <tableColumn id="6" xr3:uid="{CE5EFB9C-25C3-415C-9A6A-DBB937ECCA9A}" name="dx_code"/>
    <tableColumn id="7" xr3:uid="{CEDB284A-0AA9-4F25-BCEC-3E982C41BAF6}" name="place_of_service"/>
    <tableColumn id="8" xr3:uid="{69D27C28-651C-4D76-AA2F-C9140429E289}" name="specialty"/>
    <tableColumn id="9" xr3:uid="{2D08E7D1-A1E7-4835-B8D5-A9C0AD1AF1B1}" name="state"/>
    <tableColumn id="10" xr3:uid="{16220166-B05A-4344-A9C9-BB6C272626DA}" name="allowed_amount" totalsRowFunction="sum" dataDxfId="8" totalsRowDxfId="7"/>
    <tableColumn id="11" xr3:uid="{D7968ECE-BFCC-43A6-AC1B-7C6985ED2F1B}" name="paid_amount" totalsRowFunction="sum" dataDxfId="6" totalsRowDxfId="5"/>
    <tableColumn id="12" xr3:uid="{569C08D7-809E-4E85-AAAC-4D95443B9F79}" name="Difference" totalsRowFunction="sum" dataDxfId="4" totalsRowDxfId="3">
      <calculatedColumnFormula>Table1[[#This Row],[allowed_amount]]-Table1[[#This Row],[paid_amount]]</calculatedColumnFormula>
    </tableColumn>
    <tableColumn id="13" xr3:uid="{C06B4675-79C4-4B1F-A256-CE0558D2705C}" name="Paid_percentage" totalsRowFunction="custom" dataDxfId="2" totalsRowDxfId="1">
      <calculatedColumnFormula>Table1[[#This Row],[paid_amount]]/Table1[[#This Row],[allowed_amount]]</calculatedColumnFormula>
      <totalsRowFormula>Table1[[#Totals],[paid_amount]]/Table1[[#Totals],[allowed_amount]]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88D4-AA61-4B46-9E2C-266D900A447A}">
  <dimension ref="A3:E7"/>
  <sheetViews>
    <sheetView zoomScale="79" workbookViewId="0">
      <selection activeCell="F33" sqref="F33"/>
    </sheetView>
  </sheetViews>
  <sheetFormatPr defaultRowHeight="14.4" x14ac:dyDescent="0.3"/>
  <cols>
    <col min="1" max="5" width="21.21875" customWidth="1"/>
    <col min="6" max="6" width="10.5546875" bestFit="1" customWidth="1"/>
    <col min="7" max="7" width="12.109375" bestFit="1" customWidth="1"/>
    <col min="8" max="8" width="9.33203125" bestFit="1" customWidth="1"/>
    <col min="9" max="9" width="13.88671875" bestFit="1" customWidth="1"/>
    <col min="10" max="10" width="10.5546875" bestFit="1" customWidth="1"/>
  </cols>
  <sheetData>
    <row r="3" spans="1:5" x14ac:dyDescent="0.3">
      <c r="A3" s="4" t="s">
        <v>68</v>
      </c>
      <c r="B3" t="s">
        <v>66</v>
      </c>
      <c r="C3" t="s">
        <v>64</v>
      </c>
      <c r="D3" t="s">
        <v>65</v>
      </c>
      <c r="E3" t="s">
        <v>67</v>
      </c>
    </row>
    <row r="4" spans="1:5" x14ac:dyDescent="0.3">
      <c r="A4" s="5" t="s">
        <v>25</v>
      </c>
      <c r="B4">
        <v>5</v>
      </c>
      <c r="C4" s="2">
        <v>334</v>
      </c>
      <c r="D4" s="2">
        <v>268</v>
      </c>
      <c r="E4" s="1">
        <v>0.80239520958083832</v>
      </c>
    </row>
    <row r="5" spans="1:5" x14ac:dyDescent="0.3">
      <c r="A5" s="5" t="s">
        <v>19</v>
      </c>
      <c r="B5">
        <v>10</v>
      </c>
      <c r="C5" s="2">
        <v>743.49</v>
      </c>
      <c r="D5" s="2">
        <v>600</v>
      </c>
      <c r="E5" s="1">
        <v>0.80700480167857003</v>
      </c>
    </row>
    <row r="6" spans="1:5" x14ac:dyDescent="0.3">
      <c r="A6" s="5" t="s">
        <v>14</v>
      </c>
      <c r="B6">
        <v>10</v>
      </c>
      <c r="C6" s="2">
        <v>713.6</v>
      </c>
      <c r="D6" s="2">
        <v>574</v>
      </c>
      <c r="E6" s="1">
        <v>0.804372197309417</v>
      </c>
    </row>
    <row r="7" spans="1:5" x14ac:dyDescent="0.3">
      <c r="A7" s="5" t="s">
        <v>63</v>
      </c>
      <c r="B7">
        <v>25</v>
      </c>
      <c r="C7" s="2">
        <v>1791.0900000000004</v>
      </c>
      <c r="D7" s="2">
        <v>1442</v>
      </c>
      <c r="E7" s="1">
        <v>0.80509633798413238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9AEE-C3E8-43CE-83C5-C5D5D621C2CB}">
  <dimension ref="A3:D40"/>
  <sheetViews>
    <sheetView topLeftCell="A16" zoomScale="85" workbookViewId="0">
      <selection activeCell="Q38" sqref="Q38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21.5546875" bestFit="1" customWidth="1"/>
    <col min="4" max="4" width="16.44140625" customWidth="1"/>
  </cols>
  <sheetData>
    <row r="3" spans="1:4" x14ac:dyDescent="0.3">
      <c r="A3" s="4" t="s">
        <v>69</v>
      </c>
      <c r="B3" t="s">
        <v>66</v>
      </c>
      <c r="C3" t="s">
        <v>70</v>
      </c>
      <c r="D3" t="s">
        <v>71</v>
      </c>
    </row>
    <row r="4" spans="1:4" x14ac:dyDescent="0.3">
      <c r="A4" s="5" t="s">
        <v>38</v>
      </c>
      <c r="B4">
        <v>4</v>
      </c>
      <c r="C4" s="2">
        <v>303.11</v>
      </c>
      <c r="D4" s="2">
        <v>244</v>
      </c>
    </row>
    <row r="5" spans="1:4" x14ac:dyDescent="0.3">
      <c r="A5" s="5" t="s">
        <v>49</v>
      </c>
      <c r="B5">
        <v>2</v>
      </c>
      <c r="C5" s="2">
        <v>195.73000000000002</v>
      </c>
      <c r="D5" s="2">
        <v>158</v>
      </c>
    </row>
    <row r="6" spans="1:4" x14ac:dyDescent="0.3">
      <c r="A6" s="5" t="s">
        <v>26</v>
      </c>
      <c r="B6">
        <v>3</v>
      </c>
      <c r="C6" s="2">
        <v>222</v>
      </c>
      <c r="D6" s="2">
        <v>178</v>
      </c>
    </row>
    <row r="7" spans="1:4" x14ac:dyDescent="0.3">
      <c r="A7" s="5" t="s">
        <v>20</v>
      </c>
      <c r="B7">
        <v>2</v>
      </c>
      <c r="C7" s="2">
        <v>134.5</v>
      </c>
      <c r="D7" s="2">
        <v>110</v>
      </c>
    </row>
    <row r="8" spans="1:4" x14ac:dyDescent="0.3">
      <c r="A8" s="5" t="s">
        <v>57</v>
      </c>
      <c r="B8">
        <v>3</v>
      </c>
      <c r="C8" s="2">
        <v>217.88000000000002</v>
      </c>
      <c r="D8" s="2">
        <v>176</v>
      </c>
    </row>
    <row r="9" spans="1:4" x14ac:dyDescent="0.3">
      <c r="A9" s="5" t="s">
        <v>53</v>
      </c>
      <c r="B9">
        <v>2</v>
      </c>
      <c r="C9" s="2">
        <v>107.38</v>
      </c>
      <c r="D9" s="2">
        <v>86</v>
      </c>
    </row>
    <row r="10" spans="1:4" x14ac:dyDescent="0.3">
      <c r="A10" s="5" t="s">
        <v>15</v>
      </c>
      <c r="B10">
        <v>7</v>
      </c>
      <c r="C10" s="2">
        <v>498.49</v>
      </c>
      <c r="D10" s="2">
        <v>400</v>
      </c>
    </row>
    <row r="11" spans="1:4" x14ac:dyDescent="0.3">
      <c r="A11" s="5" t="s">
        <v>45</v>
      </c>
      <c r="B11">
        <v>2</v>
      </c>
      <c r="C11" s="2">
        <v>112</v>
      </c>
      <c r="D11" s="2">
        <v>90</v>
      </c>
    </row>
    <row r="12" spans="1:4" x14ac:dyDescent="0.3">
      <c r="A12" s="5" t="s">
        <v>63</v>
      </c>
      <c r="B12">
        <v>25</v>
      </c>
      <c r="C12" s="2">
        <v>1791.0900000000004</v>
      </c>
      <c r="D12" s="2">
        <v>1442</v>
      </c>
    </row>
    <row r="16" spans="1:4" x14ac:dyDescent="0.3">
      <c r="A16" s="4" t="s">
        <v>69</v>
      </c>
      <c r="B16" t="s">
        <v>66</v>
      </c>
    </row>
    <row r="17" spans="1:3" x14ac:dyDescent="0.3">
      <c r="A17" s="5" t="s">
        <v>38</v>
      </c>
      <c r="B17">
        <v>4</v>
      </c>
    </row>
    <row r="18" spans="1:3" x14ac:dyDescent="0.3">
      <c r="A18" s="5" t="s">
        <v>49</v>
      </c>
      <c r="B18">
        <v>2</v>
      </c>
    </row>
    <row r="19" spans="1:3" x14ac:dyDescent="0.3">
      <c r="A19" s="5" t="s">
        <v>26</v>
      </c>
      <c r="B19">
        <v>3</v>
      </c>
    </row>
    <row r="20" spans="1:3" x14ac:dyDescent="0.3">
      <c r="A20" s="5" t="s">
        <v>20</v>
      </c>
      <c r="B20">
        <v>2</v>
      </c>
    </row>
    <row r="21" spans="1:3" x14ac:dyDescent="0.3">
      <c r="A21" s="5" t="s">
        <v>57</v>
      </c>
      <c r="B21">
        <v>3</v>
      </c>
    </row>
    <row r="22" spans="1:3" x14ac:dyDescent="0.3">
      <c r="A22" s="5" t="s">
        <v>53</v>
      </c>
      <c r="B22">
        <v>2</v>
      </c>
    </row>
    <row r="23" spans="1:3" x14ac:dyDescent="0.3">
      <c r="A23" s="5" t="s">
        <v>15</v>
      </c>
      <c r="B23">
        <v>7</v>
      </c>
    </row>
    <row r="24" spans="1:3" x14ac:dyDescent="0.3">
      <c r="A24" s="5" t="s">
        <v>45</v>
      </c>
      <c r="B24">
        <v>2</v>
      </c>
    </row>
    <row r="25" spans="1:3" x14ac:dyDescent="0.3">
      <c r="A25" s="5" t="s">
        <v>63</v>
      </c>
      <c r="B25">
        <v>25</v>
      </c>
    </row>
    <row r="31" spans="1:3" x14ac:dyDescent="0.3">
      <c r="A31" s="4" t="s">
        <v>69</v>
      </c>
      <c r="B31" t="s">
        <v>72</v>
      </c>
      <c r="C31" t="s">
        <v>64</v>
      </c>
    </row>
    <row r="32" spans="1:3" x14ac:dyDescent="0.3">
      <c r="A32" s="5" t="s">
        <v>38</v>
      </c>
      <c r="B32" s="2">
        <v>244</v>
      </c>
      <c r="C32" s="2">
        <v>303.11</v>
      </c>
    </row>
    <row r="33" spans="1:3" x14ac:dyDescent="0.3">
      <c r="A33" s="5" t="s">
        <v>49</v>
      </c>
      <c r="B33" s="2">
        <v>158</v>
      </c>
      <c r="C33" s="2">
        <v>195.73000000000002</v>
      </c>
    </row>
    <row r="34" spans="1:3" x14ac:dyDescent="0.3">
      <c r="A34" s="5" t="s">
        <v>26</v>
      </c>
      <c r="B34" s="2">
        <v>178</v>
      </c>
      <c r="C34" s="2">
        <v>222</v>
      </c>
    </row>
    <row r="35" spans="1:3" x14ac:dyDescent="0.3">
      <c r="A35" s="5" t="s">
        <v>20</v>
      </c>
      <c r="B35" s="2">
        <v>110</v>
      </c>
      <c r="C35" s="2">
        <v>134.5</v>
      </c>
    </row>
    <row r="36" spans="1:3" x14ac:dyDescent="0.3">
      <c r="A36" s="5" t="s">
        <v>57</v>
      </c>
      <c r="B36" s="2">
        <v>176</v>
      </c>
      <c r="C36" s="2">
        <v>217.88000000000002</v>
      </c>
    </row>
    <row r="37" spans="1:3" x14ac:dyDescent="0.3">
      <c r="A37" s="5" t="s">
        <v>53</v>
      </c>
      <c r="B37" s="2">
        <v>86</v>
      </c>
      <c r="C37" s="2">
        <v>107.38</v>
      </c>
    </row>
    <row r="38" spans="1:3" x14ac:dyDescent="0.3">
      <c r="A38" s="5" t="s">
        <v>15</v>
      </c>
      <c r="B38" s="2">
        <v>400</v>
      </c>
      <c r="C38" s="2">
        <v>498.49</v>
      </c>
    </row>
    <row r="39" spans="1:3" x14ac:dyDescent="0.3">
      <c r="A39" s="5" t="s">
        <v>45</v>
      </c>
      <c r="B39" s="2">
        <v>90</v>
      </c>
      <c r="C39" s="2">
        <v>112</v>
      </c>
    </row>
    <row r="40" spans="1:3" x14ac:dyDescent="0.3">
      <c r="A40" s="5" t="s">
        <v>63</v>
      </c>
      <c r="B40" s="2">
        <v>1442</v>
      </c>
      <c r="C40" s="2">
        <v>1791.09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C917-AEF5-4EBC-B932-622531FDCB53}">
  <dimension ref="A3:D16"/>
  <sheetViews>
    <sheetView workbookViewId="0">
      <selection activeCell="C32" sqref="C32"/>
    </sheetView>
  </sheetViews>
  <sheetFormatPr defaultRowHeight="14.4" x14ac:dyDescent="0.3"/>
  <cols>
    <col min="1" max="4" width="24.88671875" customWidth="1"/>
  </cols>
  <sheetData>
    <row r="3" spans="1:4" x14ac:dyDescent="0.3">
      <c r="A3" s="4" t="s">
        <v>73</v>
      </c>
      <c r="B3" t="s">
        <v>66</v>
      </c>
      <c r="C3" t="s">
        <v>64</v>
      </c>
      <c r="D3" t="s">
        <v>65</v>
      </c>
    </row>
    <row r="4" spans="1:4" x14ac:dyDescent="0.3">
      <c r="A4" s="5">
        <v>83036</v>
      </c>
      <c r="B4">
        <v>6</v>
      </c>
      <c r="C4" s="2">
        <v>132.75</v>
      </c>
      <c r="D4" s="2">
        <v>108</v>
      </c>
    </row>
    <row r="5" spans="1:4" x14ac:dyDescent="0.3">
      <c r="A5" s="5">
        <v>83037</v>
      </c>
      <c r="B5">
        <v>2</v>
      </c>
      <c r="C5" s="2">
        <v>48</v>
      </c>
      <c r="D5" s="2">
        <v>40</v>
      </c>
    </row>
    <row r="6" spans="1:4" x14ac:dyDescent="0.3">
      <c r="A6" s="5">
        <v>99213</v>
      </c>
      <c r="B6">
        <v>11</v>
      </c>
      <c r="C6" s="2">
        <v>945.84000000000015</v>
      </c>
      <c r="D6" s="2">
        <v>754</v>
      </c>
    </row>
    <row r="7" spans="1:4" x14ac:dyDescent="0.3">
      <c r="A7" s="5">
        <v>99214</v>
      </c>
      <c r="B7">
        <v>6</v>
      </c>
      <c r="C7" s="2">
        <v>664.5</v>
      </c>
      <c r="D7" s="2">
        <v>540</v>
      </c>
    </row>
    <row r="8" spans="1:4" x14ac:dyDescent="0.3">
      <c r="A8" s="5" t="s">
        <v>63</v>
      </c>
      <c r="B8">
        <v>25</v>
      </c>
      <c r="C8" s="2">
        <v>1791.0900000000001</v>
      </c>
      <c r="D8" s="2">
        <v>1442</v>
      </c>
    </row>
    <row r="11" spans="1:4" x14ac:dyDescent="0.3">
      <c r="A11" s="4" t="s">
        <v>73</v>
      </c>
      <c r="B11" t="s">
        <v>74</v>
      </c>
    </row>
    <row r="12" spans="1:4" x14ac:dyDescent="0.3">
      <c r="A12" s="5">
        <v>83036</v>
      </c>
      <c r="B12">
        <v>6</v>
      </c>
    </row>
    <row r="13" spans="1:4" x14ac:dyDescent="0.3">
      <c r="A13" s="5">
        <v>83037</v>
      </c>
      <c r="B13">
        <v>2</v>
      </c>
    </row>
    <row r="14" spans="1:4" x14ac:dyDescent="0.3">
      <c r="A14" s="5">
        <v>99213</v>
      </c>
      <c r="B14">
        <v>11</v>
      </c>
    </row>
    <row r="15" spans="1:4" x14ac:dyDescent="0.3">
      <c r="A15" s="5">
        <v>99214</v>
      </c>
      <c r="B15">
        <v>6</v>
      </c>
    </row>
    <row r="16" spans="1:4" x14ac:dyDescent="0.3">
      <c r="A16" s="5" t="s">
        <v>63</v>
      </c>
      <c r="B16">
        <v>25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FBEB-2D7D-4D76-96DD-4E5891A4A307}">
  <dimension ref="A1:M27"/>
  <sheetViews>
    <sheetView tabSelected="1" zoomScale="81" workbookViewId="0">
      <selection activeCell="A2" sqref="A2:XFD2"/>
    </sheetView>
  </sheetViews>
  <sheetFormatPr defaultRowHeight="14.4" x14ac:dyDescent="0.3"/>
  <cols>
    <col min="1" max="13" width="19.33203125" customWidth="1"/>
  </cols>
  <sheetData>
    <row r="1" spans="1:13" ht="19.8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60</v>
      </c>
      <c r="M1" t="s">
        <v>61</v>
      </c>
    </row>
    <row r="2" spans="1:13" ht="19.8" customHeight="1" x14ac:dyDescent="0.3">
      <c r="A2" t="s">
        <v>27</v>
      </c>
      <c r="B2" t="s">
        <v>23</v>
      </c>
      <c r="C2">
        <v>3333333333</v>
      </c>
      <c r="D2" s="3">
        <v>45336</v>
      </c>
      <c r="E2">
        <v>99214</v>
      </c>
      <c r="F2" t="s">
        <v>24</v>
      </c>
      <c r="G2">
        <v>11</v>
      </c>
      <c r="H2" t="s">
        <v>25</v>
      </c>
      <c r="I2" t="s">
        <v>26</v>
      </c>
      <c r="J2" s="2">
        <v>112</v>
      </c>
      <c r="K2" s="2">
        <v>90</v>
      </c>
      <c r="L2" s="2">
        <f>Table1[[#This Row],[allowed_amount]]-Table1[[#This Row],[paid_amount]]</f>
        <v>22</v>
      </c>
      <c r="M2" s="1">
        <f>Table1[[#This Row],[paid_amount]]/Table1[[#This Row],[allowed_amount]]</f>
        <v>0.8035714285714286</v>
      </c>
    </row>
    <row r="3" spans="1:13" ht="19.8" customHeight="1" x14ac:dyDescent="0.3">
      <c r="A3" t="s">
        <v>17</v>
      </c>
      <c r="B3" t="s">
        <v>18</v>
      </c>
      <c r="C3">
        <v>2222222222</v>
      </c>
      <c r="D3" s="3">
        <v>45340</v>
      </c>
      <c r="E3">
        <v>99214</v>
      </c>
      <c r="F3" t="s">
        <v>13</v>
      </c>
      <c r="G3">
        <v>11</v>
      </c>
      <c r="H3" t="s">
        <v>19</v>
      </c>
      <c r="I3" t="s">
        <v>20</v>
      </c>
      <c r="J3" s="2">
        <v>110.5</v>
      </c>
      <c r="K3" s="2">
        <v>90</v>
      </c>
      <c r="L3" s="2">
        <f>Table1[[#This Row],[allowed_amount]]-Table1[[#This Row],[paid_amount]]</f>
        <v>20.5</v>
      </c>
      <c r="M3" s="1">
        <f>Table1[[#This Row],[paid_amount]]/Table1[[#This Row],[allowed_amount]]</f>
        <v>0.81447963800904977</v>
      </c>
    </row>
    <row r="4" spans="1:13" ht="19.8" customHeight="1" x14ac:dyDescent="0.3">
      <c r="A4" t="s">
        <v>31</v>
      </c>
      <c r="B4" t="s">
        <v>30</v>
      </c>
      <c r="C4">
        <v>1111111111</v>
      </c>
      <c r="D4" s="3">
        <v>45332</v>
      </c>
      <c r="E4">
        <v>99214</v>
      </c>
      <c r="F4" t="s">
        <v>13</v>
      </c>
      <c r="G4">
        <v>11</v>
      </c>
      <c r="H4" t="s">
        <v>14</v>
      </c>
      <c r="I4" t="s">
        <v>15</v>
      </c>
      <c r="J4" s="2">
        <v>110.5</v>
      </c>
      <c r="K4" s="2">
        <v>90</v>
      </c>
      <c r="L4" s="2">
        <f>Table1[[#This Row],[allowed_amount]]-Table1[[#This Row],[paid_amount]]</f>
        <v>20.5</v>
      </c>
      <c r="M4" s="1">
        <f>Table1[[#This Row],[paid_amount]]/Table1[[#This Row],[allowed_amount]]</f>
        <v>0.81447963800904977</v>
      </c>
    </row>
    <row r="5" spans="1:13" ht="19.8" customHeight="1" x14ac:dyDescent="0.3">
      <c r="A5" t="s">
        <v>36</v>
      </c>
      <c r="B5" t="s">
        <v>37</v>
      </c>
      <c r="C5">
        <v>5555555555</v>
      </c>
      <c r="D5" s="3">
        <v>45323</v>
      </c>
      <c r="E5">
        <v>99214</v>
      </c>
      <c r="F5" t="s">
        <v>13</v>
      </c>
      <c r="G5">
        <v>11</v>
      </c>
      <c r="H5" t="s">
        <v>14</v>
      </c>
      <c r="I5" t="s">
        <v>38</v>
      </c>
      <c r="J5" s="2">
        <v>110.5</v>
      </c>
      <c r="K5" s="2">
        <v>90</v>
      </c>
      <c r="L5" s="2">
        <f>Table1[[#This Row],[allowed_amount]]-Table1[[#This Row],[paid_amount]]</f>
        <v>20.5</v>
      </c>
      <c r="M5" s="1">
        <f>Table1[[#This Row],[paid_amount]]/Table1[[#This Row],[allowed_amount]]</f>
        <v>0.81447963800904977</v>
      </c>
    </row>
    <row r="6" spans="1:13" ht="19.8" customHeight="1" x14ac:dyDescent="0.3">
      <c r="A6" t="s">
        <v>47</v>
      </c>
      <c r="B6" t="s">
        <v>48</v>
      </c>
      <c r="C6">
        <v>7777777777</v>
      </c>
      <c r="D6" s="3">
        <v>45321</v>
      </c>
      <c r="E6">
        <v>99214</v>
      </c>
      <c r="F6" t="s">
        <v>13</v>
      </c>
      <c r="G6">
        <v>11</v>
      </c>
      <c r="H6" t="s">
        <v>19</v>
      </c>
      <c r="I6" t="s">
        <v>49</v>
      </c>
      <c r="J6" s="2">
        <v>110.5</v>
      </c>
      <c r="K6" s="2">
        <v>90</v>
      </c>
      <c r="L6" s="2">
        <f>Table1[[#This Row],[allowed_amount]]-Table1[[#This Row],[paid_amount]]</f>
        <v>20.5</v>
      </c>
      <c r="M6" s="1">
        <f>Table1[[#This Row],[paid_amount]]/Table1[[#This Row],[allowed_amount]]</f>
        <v>0.81447963800904977</v>
      </c>
    </row>
    <row r="7" spans="1:13" ht="19.8" customHeight="1" x14ac:dyDescent="0.3">
      <c r="A7" t="s">
        <v>55</v>
      </c>
      <c r="B7" t="s">
        <v>56</v>
      </c>
      <c r="C7">
        <v>9999999999</v>
      </c>
      <c r="D7" s="3">
        <v>45308</v>
      </c>
      <c r="E7">
        <v>99214</v>
      </c>
      <c r="F7" t="s">
        <v>13</v>
      </c>
      <c r="G7">
        <v>11</v>
      </c>
      <c r="H7" t="s">
        <v>19</v>
      </c>
      <c r="I7" t="s">
        <v>57</v>
      </c>
      <c r="J7" s="2">
        <v>110.5</v>
      </c>
      <c r="K7" s="2">
        <v>90</v>
      </c>
      <c r="L7" s="2">
        <f>Table1[[#This Row],[allowed_amount]]-Table1[[#This Row],[paid_amount]]</f>
        <v>20.5</v>
      </c>
      <c r="M7" s="1">
        <f>Table1[[#This Row],[paid_amount]]/Table1[[#This Row],[allowed_amount]]</f>
        <v>0.81447963800904977</v>
      </c>
    </row>
    <row r="8" spans="1:13" ht="19.8" customHeight="1" x14ac:dyDescent="0.3">
      <c r="A8" t="s">
        <v>22</v>
      </c>
      <c r="B8" t="s">
        <v>23</v>
      </c>
      <c r="C8">
        <v>3333333333</v>
      </c>
      <c r="D8" s="3">
        <v>45300</v>
      </c>
      <c r="E8">
        <v>99213</v>
      </c>
      <c r="F8" t="s">
        <v>24</v>
      </c>
      <c r="G8">
        <v>11</v>
      </c>
      <c r="H8" t="s">
        <v>25</v>
      </c>
      <c r="I8" t="s">
        <v>26</v>
      </c>
      <c r="J8" s="2">
        <v>88</v>
      </c>
      <c r="K8" s="2">
        <v>70</v>
      </c>
      <c r="L8" s="2">
        <f>Table1[[#This Row],[allowed_amount]]-Table1[[#This Row],[paid_amount]]</f>
        <v>18</v>
      </c>
      <c r="M8" s="1">
        <f>Table1[[#This Row],[paid_amount]]/Table1[[#This Row],[allowed_amount]]</f>
        <v>0.79545454545454541</v>
      </c>
    </row>
    <row r="9" spans="1:13" ht="19.8" customHeight="1" x14ac:dyDescent="0.3">
      <c r="A9" t="s">
        <v>32</v>
      </c>
      <c r="B9" t="s">
        <v>30</v>
      </c>
      <c r="C9">
        <v>4444444444</v>
      </c>
      <c r="D9" s="3">
        <v>45356</v>
      </c>
      <c r="E9">
        <v>99213</v>
      </c>
      <c r="F9" t="s">
        <v>13</v>
      </c>
      <c r="G9">
        <v>11</v>
      </c>
      <c r="H9" t="s">
        <v>19</v>
      </c>
      <c r="I9" t="s">
        <v>15</v>
      </c>
      <c r="J9" s="2">
        <v>88</v>
      </c>
      <c r="K9" s="2">
        <v>70</v>
      </c>
      <c r="L9" s="2">
        <f>Table1[[#This Row],[allowed_amount]]-Table1[[#This Row],[paid_amount]]</f>
        <v>18</v>
      </c>
      <c r="M9" s="1">
        <f>Table1[[#This Row],[paid_amount]]/Table1[[#This Row],[allowed_amount]]</f>
        <v>0.79545454545454541</v>
      </c>
    </row>
    <row r="10" spans="1:13" ht="19.8" customHeight="1" x14ac:dyDescent="0.3">
      <c r="A10" t="s">
        <v>43</v>
      </c>
      <c r="B10" t="s">
        <v>44</v>
      </c>
      <c r="C10">
        <v>6666666666</v>
      </c>
      <c r="D10" s="3">
        <v>45353</v>
      </c>
      <c r="E10">
        <v>99213</v>
      </c>
      <c r="F10" t="s">
        <v>24</v>
      </c>
      <c r="G10">
        <v>11</v>
      </c>
      <c r="H10" t="s">
        <v>25</v>
      </c>
      <c r="I10" t="s">
        <v>45</v>
      </c>
      <c r="J10" s="2">
        <v>88</v>
      </c>
      <c r="K10" s="2">
        <v>70</v>
      </c>
      <c r="L10" s="2">
        <f>Table1[[#This Row],[allowed_amount]]-Table1[[#This Row],[paid_amount]]</f>
        <v>18</v>
      </c>
      <c r="M10" s="1">
        <f>Table1[[#This Row],[paid_amount]]/Table1[[#This Row],[allowed_amount]]</f>
        <v>0.79545454545454541</v>
      </c>
    </row>
    <row r="11" spans="1:13" ht="19.8" customHeight="1" x14ac:dyDescent="0.3">
      <c r="A11" t="s">
        <v>11</v>
      </c>
      <c r="B11" t="s">
        <v>12</v>
      </c>
      <c r="C11">
        <v>1111111111</v>
      </c>
      <c r="D11" s="3">
        <v>45296</v>
      </c>
      <c r="E11">
        <v>99213</v>
      </c>
      <c r="F11" t="s">
        <v>13</v>
      </c>
      <c r="G11">
        <v>11</v>
      </c>
      <c r="H11" t="s">
        <v>14</v>
      </c>
      <c r="I11" t="s">
        <v>15</v>
      </c>
      <c r="J11" s="2">
        <v>85.23</v>
      </c>
      <c r="K11" s="2">
        <v>68</v>
      </c>
      <c r="L11" s="2">
        <f>Table1[[#This Row],[allowed_amount]]-Table1[[#This Row],[paid_amount]]</f>
        <v>17.230000000000004</v>
      </c>
      <c r="M11" s="1">
        <f>Table1[[#This Row],[paid_amount]]/Table1[[#This Row],[allowed_amount]]</f>
        <v>0.79784113575032267</v>
      </c>
    </row>
    <row r="12" spans="1:13" ht="19.8" customHeight="1" x14ac:dyDescent="0.3">
      <c r="A12" t="s">
        <v>29</v>
      </c>
      <c r="B12" t="s">
        <v>30</v>
      </c>
      <c r="C12">
        <v>1111111111</v>
      </c>
      <c r="D12" s="3">
        <v>45306</v>
      </c>
      <c r="E12">
        <v>99213</v>
      </c>
      <c r="F12" t="s">
        <v>13</v>
      </c>
      <c r="G12">
        <v>11</v>
      </c>
      <c r="H12" t="s">
        <v>14</v>
      </c>
      <c r="I12" t="s">
        <v>15</v>
      </c>
      <c r="J12" s="2">
        <v>85.23</v>
      </c>
      <c r="K12" s="2">
        <v>68</v>
      </c>
      <c r="L12" s="2">
        <f>Table1[[#This Row],[allowed_amount]]-Table1[[#This Row],[paid_amount]]</f>
        <v>17.230000000000004</v>
      </c>
      <c r="M12" s="1">
        <f>Table1[[#This Row],[paid_amount]]/Table1[[#This Row],[allowed_amount]]</f>
        <v>0.79784113575032267</v>
      </c>
    </row>
    <row r="13" spans="1:13" ht="19.8" customHeight="1" x14ac:dyDescent="0.3">
      <c r="A13" t="s">
        <v>33</v>
      </c>
      <c r="B13" t="s">
        <v>34</v>
      </c>
      <c r="C13">
        <v>4444444444</v>
      </c>
      <c r="D13" s="3">
        <v>45313</v>
      </c>
      <c r="E13">
        <v>99213</v>
      </c>
      <c r="F13" t="s">
        <v>13</v>
      </c>
      <c r="G13">
        <v>11</v>
      </c>
      <c r="H13" t="s">
        <v>19</v>
      </c>
      <c r="I13" t="s">
        <v>15</v>
      </c>
      <c r="J13" s="2">
        <v>85.23</v>
      </c>
      <c r="K13" s="2">
        <v>68</v>
      </c>
      <c r="L13" s="2">
        <f>Table1[[#This Row],[allowed_amount]]-Table1[[#This Row],[paid_amount]]</f>
        <v>17.230000000000004</v>
      </c>
      <c r="M13" s="1">
        <f>Table1[[#This Row],[paid_amount]]/Table1[[#This Row],[allowed_amount]]</f>
        <v>0.79784113575032267</v>
      </c>
    </row>
    <row r="14" spans="1:13" ht="19.8" customHeight="1" x14ac:dyDescent="0.3">
      <c r="A14" t="s">
        <v>39</v>
      </c>
      <c r="B14" t="s">
        <v>37</v>
      </c>
      <c r="C14">
        <v>5555555555</v>
      </c>
      <c r="D14" s="3">
        <v>45361</v>
      </c>
      <c r="E14">
        <v>99213</v>
      </c>
      <c r="F14" t="s">
        <v>13</v>
      </c>
      <c r="G14">
        <v>11</v>
      </c>
      <c r="H14" t="s">
        <v>14</v>
      </c>
      <c r="I14" t="s">
        <v>38</v>
      </c>
      <c r="J14" s="2">
        <v>85.23</v>
      </c>
      <c r="K14" s="2">
        <v>68</v>
      </c>
      <c r="L14" s="2">
        <f>Table1[[#This Row],[allowed_amount]]-Table1[[#This Row],[paid_amount]]</f>
        <v>17.230000000000004</v>
      </c>
      <c r="M14" s="1">
        <f>Table1[[#This Row],[paid_amount]]/Table1[[#This Row],[allowed_amount]]</f>
        <v>0.79784113575032267</v>
      </c>
    </row>
    <row r="15" spans="1:13" ht="19.8" customHeight="1" x14ac:dyDescent="0.3">
      <c r="A15" t="s">
        <v>40</v>
      </c>
      <c r="B15" t="s">
        <v>41</v>
      </c>
      <c r="C15">
        <v>5555555555</v>
      </c>
      <c r="D15" s="3">
        <v>45303</v>
      </c>
      <c r="E15">
        <v>99213</v>
      </c>
      <c r="F15" t="s">
        <v>13</v>
      </c>
      <c r="G15">
        <v>11</v>
      </c>
      <c r="H15" t="s">
        <v>14</v>
      </c>
      <c r="I15" t="s">
        <v>38</v>
      </c>
      <c r="J15" s="2">
        <v>85.23</v>
      </c>
      <c r="K15" s="2">
        <v>68</v>
      </c>
      <c r="L15" s="2">
        <f>Table1[[#This Row],[allowed_amount]]-Table1[[#This Row],[paid_amount]]</f>
        <v>17.230000000000004</v>
      </c>
      <c r="M15" s="1">
        <f>Table1[[#This Row],[paid_amount]]/Table1[[#This Row],[allowed_amount]]</f>
        <v>0.79784113575032267</v>
      </c>
    </row>
    <row r="16" spans="1:13" ht="19.8" customHeight="1" x14ac:dyDescent="0.3">
      <c r="A16" t="s">
        <v>50</v>
      </c>
      <c r="B16" t="s">
        <v>48</v>
      </c>
      <c r="C16">
        <v>7777777777</v>
      </c>
      <c r="D16" s="3">
        <v>45366</v>
      </c>
      <c r="E16">
        <v>99213</v>
      </c>
      <c r="F16" t="s">
        <v>13</v>
      </c>
      <c r="G16">
        <v>11</v>
      </c>
      <c r="H16" t="s">
        <v>19</v>
      </c>
      <c r="I16" t="s">
        <v>49</v>
      </c>
      <c r="J16" s="2">
        <v>85.23</v>
      </c>
      <c r="K16" s="2">
        <v>68</v>
      </c>
      <c r="L16" s="2">
        <f>Table1[[#This Row],[allowed_amount]]-Table1[[#This Row],[paid_amount]]</f>
        <v>17.230000000000004</v>
      </c>
      <c r="M16" s="1">
        <f>Table1[[#This Row],[paid_amount]]/Table1[[#This Row],[allowed_amount]]</f>
        <v>0.79784113575032267</v>
      </c>
    </row>
    <row r="17" spans="1:13" ht="19.8" customHeight="1" x14ac:dyDescent="0.3">
      <c r="A17" t="s">
        <v>51</v>
      </c>
      <c r="B17" t="s">
        <v>52</v>
      </c>
      <c r="C17">
        <v>8888888888</v>
      </c>
      <c r="D17" s="3">
        <v>45333</v>
      </c>
      <c r="E17">
        <v>99213</v>
      </c>
      <c r="F17" t="s">
        <v>13</v>
      </c>
      <c r="G17">
        <v>11</v>
      </c>
      <c r="H17" t="s">
        <v>14</v>
      </c>
      <c r="I17" t="s">
        <v>53</v>
      </c>
      <c r="J17" s="2">
        <v>85.23</v>
      </c>
      <c r="K17" s="2">
        <v>68</v>
      </c>
      <c r="L17" s="2">
        <f>Table1[[#This Row],[allowed_amount]]-Table1[[#This Row],[paid_amount]]</f>
        <v>17.230000000000004</v>
      </c>
      <c r="M17" s="1">
        <f>Table1[[#This Row],[paid_amount]]/Table1[[#This Row],[allowed_amount]]</f>
        <v>0.79784113575032267</v>
      </c>
    </row>
    <row r="18" spans="1:13" ht="19.8" customHeight="1" x14ac:dyDescent="0.3">
      <c r="A18" t="s">
        <v>58</v>
      </c>
      <c r="B18" t="s">
        <v>56</v>
      </c>
      <c r="C18">
        <v>9999999999</v>
      </c>
      <c r="D18" s="3">
        <v>45347</v>
      </c>
      <c r="E18">
        <v>99213</v>
      </c>
      <c r="F18" t="s">
        <v>13</v>
      </c>
      <c r="G18">
        <v>11</v>
      </c>
      <c r="H18" t="s">
        <v>19</v>
      </c>
      <c r="I18" t="s">
        <v>57</v>
      </c>
      <c r="J18" s="2">
        <v>85.23</v>
      </c>
      <c r="K18" s="2">
        <v>68</v>
      </c>
      <c r="L18" s="2">
        <f>Table1[[#This Row],[allowed_amount]]-Table1[[#This Row],[paid_amount]]</f>
        <v>17.230000000000004</v>
      </c>
      <c r="M18" s="1">
        <f>Table1[[#This Row],[paid_amount]]/Table1[[#This Row],[allowed_amount]]</f>
        <v>0.79784113575032267</v>
      </c>
    </row>
    <row r="19" spans="1:13" ht="19.8" customHeight="1" x14ac:dyDescent="0.3">
      <c r="A19" t="s">
        <v>21</v>
      </c>
      <c r="B19" t="s">
        <v>18</v>
      </c>
      <c r="C19">
        <v>2222222222</v>
      </c>
      <c r="D19" s="3">
        <v>45404</v>
      </c>
      <c r="E19">
        <v>83037</v>
      </c>
      <c r="F19" t="s">
        <v>13</v>
      </c>
      <c r="G19">
        <v>11</v>
      </c>
      <c r="H19" t="s">
        <v>19</v>
      </c>
      <c r="I19" t="s">
        <v>20</v>
      </c>
      <c r="J19" s="2">
        <v>24</v>
      </c>
      <c r="K19" s="2">
        <v>20</v>
      </c>
      <c r="L19" s="2">
        <f>Table1[[#This Row],[allowed_amount]]-Table1[[#This Row],[paid_amount]]</f>
        <v>4</v>
      </c>
      <c r="M19" s="1">
        <f>Table1[[#This Row],[paid_amount]]/Table1[[#This Row],[allowed_amount]]</f>
        <v>0.83333333333333337</v>
      </c>
    </row>
    <row r="20" spans="1:13" ht="19.8" customHeight="1" x14ac:dyDescent="0.3">
      <c r="A20" t="s">
        <v>46</v>
      </c>
      <c r="B20" t="s">
        <v>44</v>
      </c>
      <c r="C20">
        <v>6666666666</v>
      </c>
      <c r="D20" s="3">
        <v>45379</v>
      </c>
      <c r="E20">
        <v>83037</v>
      </c>
      <c r="F20" t="s">
        <v>24</v>
      </c>
      <c r="G20">
        <v>11</v>
      </c>
      <c r="H20" t="s">
        <v>25</v>
      </c>
      <c r="I20" t="s">
        <v>45</v>
      </c>
      <c r="J20" s="2">
        <v>24</v>
      </c>
      <c r="K20" s="2">
        <v>20</v>
      </c>
      <c r="L20" s="2">
        <f>Table1[[#This Row],[allowed_amount]]-Table1[[#This Row],[paid_amount]]</f>
        <v>4</v>
      </c>
      <c r="M20" s="1">
        <f>Table1[[#This Row],[paid_amount]]/Table1[[#This Row],[allowed_amount]]</f>
        <v>0.83333333333333337</v>
      </c>
    </row>
    <row r="21" spans="1:13" ht="19.8" customHeight="1" x14ac:dyDescent="0.3">
      <c r="A21" t="s">
        <v>16</v>
      </c>
      <c r="B21" t="s">
        <v>12</v>
      </c>
      <c r="C21">
        <v>1111111111</v>
      </c>
      <c r="D21" s="3">
        <v>45363</v>
      </c>
      <c r="E21">
        <v>83036</v>
      </c>
      <c r="F21" t="s">
        <v>13</v>
      </c>
      <c r="G21">
        <v>11</v>
      </c>
      <c r="H21" t="s">
        <v>14</v>
      </c>
      <c r="I21" t="s">
        <v>15</v>
      </c>
      <c r="J21" s="2">
        <v>22.15</v>
      </c>
      <c r="K21" s="2">
        <v>18</v>
      </c>
      <c r="L21" s="2">
        <f>Table1[[#This Row],[allowed_amount]]-Table1[[#This Row],[paid_amount]]</f>
        <v>4.1499999999999986</v>
      </c>
      <c r="M21" s="1">
        <f>Table1[[#This Row],[paid_amount]]/Table1[[#This Row],[allowed_amount]]</f>
        <v>0.81264108352144471</v>
      </c>
    </row>
    <row r="22" spans="1:13" ht="19.8" customHeight="1" x14ac:dyDescent="0.3">
      <c r="A22" t="s">
        <v>35</v>
      </c>
      <c r="B22" t="s">
        <v>34</v>
      </c>
      <c r="C22">
        <v>4444444444</v>
      </c>
      <c r="D22" s="3">
        <v>45369</v>
      </c>
      <c r="E22">
        <v>83036</v>
      </c>
      <c r="F22" t="s">
        <v>13</v>
      </c>
      <c r="G22">
        <v>11</v>
      </c>
      <c r="H22" t="s">
        <v>19</v>
      </c>
      <c r="I22" t="s">
        <v>15</v>
      </c>
      <c r="J22" s="2">
        <v>22.15</v>
      </c>
      <c r="K22" s="2">
        <v>18</v>
      </c>
      <c r="L22" s="2">
        <f>Table1[[#This Row],[allowed_amount]]-Table1[[#This Row],[paid_amount]]</f>
        <v>4.1499999999999986</v>
      </c>
      <c r="M22" s="1">
        <f>Table1[[#This Row],[paid_amount]]/Table1[[#This Row],[allowed_amount]]</f>
        <v>0.81264108352144471</v>
      </c>
    </row>
    <row r="23" spans="1:13" ht="19.8" customHeight="1" x14ac:dyDescent="0.3">
      <c r="A23" t="s">
        <v>42</v>
      </c>
      <c r="B23" t="s">
        <v>41</v>
      </c>
      <c r="C23">
        <v>5555555555</v>
      </c>
      <c r="D23" s="3">
        <v>45342</v>
      </c>
      <c r="E23">
        <v>83036</v>
      </c>
      <c r="F23" t="s">
        <v>13</v>
      </c>
      <c r="G23">
        <v>11</v>
      </c>
      <c r="H23" t="s">
        <v>14</v>
      </c>
      <c r="I23" t="s">
        <v>38</v>
      </c>
      <c r="J23" s="2">
        <v>22.15</v>
      </c>
      <c r="K23" s="2">
        <v>18</v>
      </c>
      <c r="L23" s="2">
        <f>Table1[[#This Row],[allowed_amount]]-Table1[[#This Row],[paid_amount]]</f>
        <v>4.1499999999999986</v>
      </c>
      <c r="M23" s="1">
        <f>Table1[[#This Row],[paid_amount]]/Table1[[#This Row],[allowed_amount]]</f>
        <v>0.81264108352144471</v>
      </c>
    </row>
    <row r="24" spans="1:13" ht="19.8" customHeight="1" x14ac:dyDescent="0.3">
      <c r="A24" t="s">
        <v>54</v>
      </c>
      <c r="B24" t="s">
        <v>52</v>
      </c>
      <c r="C24">
        <v>8888888888</v>
      </c>
      <c r="D24" s="3">
        <v>45370</v>
      </c>
      <c r="E24">
        <v>83036</v>
      </c>
      <c r="F24" t="s">
        <v>13</v>
      </c>
      <c r="G24">
        <v>11</v>
      </c>
      <c r="H24" t="s">
        <v>14</v>
      </c>
      <c r="I24" t="s">
        <v>53</v>
      </c>
      <c r="J24" s="2">
        <v>22.15</v>
      </c>
      <c r="K24" s="2">
        <v>18</v>
      </c>
      <c r="L24" s="2">
        <f>Table1[[#This Row],[allowed_amount]]-Table1[[#This Row],[paid_amount]]</f>
        <v>4.1499999999999986</v>
      </c>
      <c r="M24" s="1">
        <f>Table1[[#This Row],[paid_amount]]/Table1[[#This Row],[allowed_amount]]</f>
        <v>0.81264108352144471</v>
      </c>
    </row>
    <row r="25" spans="1:13" ht="19.8" customHeight="1" x14ac:dyDescent="0.3">
      <c r="A25" t="s">
        <v>59</v>
      </c>
      <c r="B25" t="s">
        <v>56</v>
      </c>
      <c r="C25">
        <v>9999999999</v>
      </c>
      <c r="D25" s="3">
        <v>45373</v>
      </c>
      <c r="E25">
        <v>83036</v>
      </c>
      <c r="F25" t="s">
        <v>13</v>
      </c>
      <c r="G25">
        <v>11</v>
      </c>
      <c r="H25" t="s">
        <v>19</v>
      </c>
      <c r="I25" t="s">
        <v>57</v>
      </c>
      <c r="J25" s="2">
        <v>22.15</v>
      </c>
      <c r="K25" s="2">
        <v>18</v>
      </c>
      <c r="L25" s="2">
        <f>Table1[[#This Row],[allowed_amount]]-Table1[[#This Row],[paid_amount]]</f>
        <v>4.1499999999999986</v>
      </c>
      <c r="M25" s="1">
        <f>Table1[[#This Row],[paid_amount]]/Table1[[#This Row],[allowed_amount]]</f>
        <v>0.81264108352144471</v>
      </c>
    </row>
    <row r="26" spans="1:13" ht="19.8" customHeight="1" x14ac:dyDescent="0.3">
      <c r="A26" t="s">
        <v>28</v>
      </c>
      <c r="B26" t="s">
        <v>23</v>
      </c>
      <c r="C26">
        <v>3333333333</v>
      </c>
      <c r="D26" s="3">
        <v>45371</v>
      </c>
      <c r="E26">
        <v>83036</v>
      </c>
      <c r="F26" t="s">
        <v>24</v>
      </c>
      <c r="G26">
        <v>11</v>
      </c>
      <c r="H26" t="s">
        <v>25</v>
      </c>
      <c r="I26" t="s">
        <v>26</v>
      </c>
      <c r="J26" s="2">
        <v>22</v>
      </c>
      <c r="K26" s="2">
        <v>18</v>
      </c>
      <c r="L26" s="2">
        <f>Table1[[#This Row],[allowed_amount]]-Table1[[#This Row],[paid_amount]]</f>
        <v>4</v>
      </c>
      <c r="M26" s="1">
        <f>Table1[[#This Row],[paid_amount]]/Table1[[#This Row],[allowed_amount]]</f>
        <v>0.81818181818181823</v>
      </c>
    </row>
    <row r="27" spans="1:13" ht="19.8" customHeight="1" x14ac:dyDescent="0.3">
      <c r="A27" t="s">
        <v>62</v>
      </c>
      <c r="J27" s="2">
        <f>SUBTOTAL(109,Table1[allowed_amount])</f>
        <v>1791.0900000000006</v>
      </c>
      <c r="K27" s="2">
        <f>SUBTOTAL(109,Table1[paid_amount])</f>
        <v>1442</v>
      </c>
      <c r="L27" s="2">
        <f>SUBTOTAL(109,Table1[Difference])</f>
        <v>349.09000000000003</v>
      </c>
      <c r="M27" s="1">
        <f>Table1[[#Totals],[paid_amount]]/Table1[[#Totals],[allowed_amount]]</f>
        <v>0.80509633798413227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Claims by specialty</vt:lpstr>
      <vt:lpstr>Claims by state</vt:lpstr>
      <vt:lpstr>Claims by HCPCS codes</vt:lpstr>
      <vt:lpstr>synthetic_claims (1) 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 Mittapelli</dc:creator>
  <cp:lastModifiedBy>Tejaswi Mittapelli</cp:lastModifiedBy>
  <dcterms:created xsi:type="dcterms:W3CDTF">2026-09-22T02:30:22Z</dcterms:created>
  <dcterms:modified xsi:type="dcterms:W3CDTF">2026-09-23T01:15:05Z</dcterms:modified>
</cp:coreProperties>
</file>